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u\Documents\ASG\ASG General\"/>
    </mc:Choice>
  </mc:AlternateContent>
  <xr:revisionPtr revIDLastSave="0" documentId="13_ncr:1_{F9D1E61E-6CB9-40ED-8581-3D6DFB1955BB}" xr6:coauthVersionLast="47" xr6:coauthVersionMax="47" xr10:uidLastSave="{00000000-0000-0000-0000-000000000000}"/>
  <bookViews>
    <workbookView xWindow="-108" yWindow="-108" windowWidth="23256" windowHeight="12456" activeTab="3" xr2:uid="{166D2F9F-7A78-4093-85A7-E6EB8272E84A}"/>
  </bookViews>
  <sheets>
    <sheet name="Area Project" sheetId="10" r:id="rId1"/>
    <sheet name="Simulasi 1" sheetId="5" r:id="rId2"/>
    <sheet name="Simulasi 2" sheetId="6" state="hidden" r:id="rId3"/>
    <sheet name="Simulasi 3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8" l="1"/>
  <c r="J13" i="8"/>
  <c r="I13" i="8"/>
  <c r="I13" i="6"/>
  <c r="J13" i="5"/>
  <c r="I13" i="5"/>
  <c r="H13" i="8"/>
  <c r="B13" i="8"/>
  <c r="D13" i="8" s="1"/>
  <c r="E13" i="8" s="1"/>
  <c r="F13" i="8" s="1"/>
  <c r="C6" i="8"/>
  <c r="C5" i="8"/>
  <c r="H13" i="6"/>
  <c r="B13" i="6"/>
  <c r="D13" i="6" s="1"/>
  <c r="E13" i="6" s="1"/>
  <c r="F13" i="6" s="1"/>
  <c r="C5" i="6"/>
  <c r="B13" i="5"/>
  <c r="D13" i="5" s="1"/>
  <c r="E13" i="5" s="1"/>
  <c r="C6" i="5"/>
  <c r="C5" i="5"/>
  <c r="J13" i="6" l="1"/>
  <c r="F13" i="5"/>
  <c r="H13" i="5"/>
</calcChain>
</file>

<file path=xl/sharedStrings.xml><?xml version="1.0" encoding="utf-8"?>
<sst xmlns="http://schemas.openxmlformats.org/spreadsheetml/2006/main" count="169" uniqueCount="80">
  <si>
    <t>Total Penjualan</t>
  </si>
  <si>
    <t>Total Biaya MDR</t>
  </si>
  <si>
    <t>Tanggal</t>
  </si>
  <si>
    <t>Metode Pembayaran</t>
  </si>
  <si>
    <t>IPL</t>
  </si>
  <si>
    <t>Item</t>
  </si>
  <si>
    <t>Air</t>
  </si>
  <si>
    <t>VA</t>
  </si>
  <si>
    <t>Penjualan Bersih</t>
  </si>
  <si>
    <t>Platform Fee</t>
  </si>
  <si>
    <t>Rekening Tujuan</t>
  </si>
  <si>
    <t>PT A</t>
  </si>
  <si>
    <t>PT B</t>
  </si>
  <si>
    <t>CONTOH 1</t>
  </si>
  <si>
    <t>SIMULASI</t>
  </si>
  <si>
    <t>Net Tagihan</t>
  </si>
  <si>
    <t>Rp 2.000</t>
  </si>
  <si>
    <t>Fee Based</t>
  </si>
  <si>
    <t>OMSET PT A</t>
  </si>
  <si>
    <t>OMSET PT B</t>
  </si>
  <si>
    <t>PT A &amp; PT B</t>
  </si>
  <si>
    <t>Simulasi Revenue Share 50%</t>
  </si>
  <si>
    <t>PT B &amp; PT C</t>
  </si>
  <si>
    <t>OMSET PT C</t>
  </si>
  <si>
    <t>CONTOH 2</t>
  </si>
  <si>
    <t>CONTOH 3</t>
  </si>
  <si>
    <t>Catatan : Platform Fee dikenakan kepada User/Customer. Untuk biaya VA diambil dari nilai Platform Fee</t>
  </si>
  <si>
    <t>Simulasi Revenue Share 50% untuk Air</t>
  </si>
  <si>
    <t>Listrik</t>
  </si>
  <si>
    <t>No</t>
  </si>
  <si>
    <t>Area</t>
  </si>
  <si>
    <t>Biz Park Cakung</t>
  </si>
  <si>
    <t>Biz Park Daan Mogot</t>
  </si>
  <si>
    <t>Bukit Golf Mediterania</t>
  </si>
  <si>
    <t>Dharmawangsa Square</t>
  </si>
  <si>
    <t>Duta Merlin</t>
  </si>
  <si>
    <t>Ebony</t>
  </si>
  <si>
    <t>Fresh Market GGC</t>
  </si>
  <si>
    <t>Fresh Market GLC</t>
  </si>
  <si>
    <t>Fresh Market PIK</t>
  </si>
  <si>
    <t>Gold Coast Apartment</t>
  </si>
  <si>
    <t>Gold Coast Office</t>
  </si>
  <si>
    <t>Golden Fatmawati</t>
  </si>
  <si>
    <t>Golf Island</t>
  </si>
  <si>
    <t>Grand Galaxy City</t>
  </si>
  <si>
    <t>Green Lake City</t>
  </si>
  <si>
    <t>Green Royal Condo</t>
  </si>
  <si>
    <t>Green Sedayu Apartment</t>
  </si>
  <si>
    <t>Menara Syariah</t>
  </si>
  <si>
    <t>Menteng Park</t>
  </si>
  <si>
    <t>Osaka Riverview Apartment</t>
  </si>
  <si>
    <t>PIK 2</t>
  </si>
  <si>
    <t>PIK Office (ASGO)</t>
  </si>
  <si>
    <t>Puri Mansion Apartment</t>
  </si>
  <si>
    <t>Sedayu City</t>
  </si>
  <si>
    <t>Sedayu City Suites</t>
  </si>
  <si>
    <t>Sedayu Square</t>
  </si>
  <si>
    <t>The Jasmine Kemayoran</t>
  </si>
  <si>
    <t>The Mansion Bougenville</t>
  </si>
  <si>
    <t>The Villas</t>
  </si>
  <si>
    <t>Tokyo Riverside Apartment</t>
  </si>
  <si>
    <t>Status</t>
  </si>
  <si>
    <t>Usecase 1</t>
  </si>
  <si>
    <t>Usecase 2</t>
  </si>
  <si>
    <t>Usecase 3</t>
  </si>
  <si>
    <t>Dragon Point</t>
  </si>
  <si>
    <t>Parameter </t>
  </si>
  <si>
    <t>Description</t>
  </si>
  <si>
    <t>Condition</t>
  </si>
  <si>
    <t>Split disbursement based on billing items generated by the Project Area</t>
  </si>
  <si>
    <t>Example : 1 Unit</t>
  </si>
  <si>
    <t>IPL is allocated to  PT A, Utility is allocated to PT B </t>
  </si>
  <si>
    <t>Split Disbursement for billing items generated from Project Areas</t>
  </si>
  <si>
    <t>Split Disbursement per Invoice (Item), Example: IPL, Air, Listrik</t>
  </si>
  <si>
    <t>Split Disbursement For 1 Invoice (Item), Example: IPL, Air, Listrik</t>
  </si>
  <si>
    <t>IPL is allocated to  PT A &amp; PT B</t>
  </si>
  <si>
    <t>Split Disbursement (combine usecase 1 &amp; 2), Example: IPL, Air, Listrik</t>
  </si>
  <si>
    <t xml:space="preserve">Split disbursement based on billing items generated by the Project Area, Each item that has been allocated is reallocated to two or more parties.
</t>
  </si>
  <si>
    <t>IPL is allocated to  PT A, Utility is allocated to PT B.  Utility fees received by PT B are distributed to other parties.</t>
  </si>
  <si>
    <t>`1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</si>
</sst>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[$Rp-421]* #,##0_-;\-[$Rp-421]* #,##0_-;_-[$Rp-421]* &quot;-&quot;_-;_-@_-"/>
    <numFmt numFmtId="166" formatCode="0.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0"/>
      <name val="Arial"/>
      <family val="2"/>
    </font>
    <font>
      <b/>
      <sz val="10"/>
      <name val="Trebuchet MS"/>
      <family val="2"/>
    </font>
    <font>
      <b/>
      <sz val="10"/>
      <color indexed="0"/>
      <name val="Trebuchet MS"/>
      <family val="2"/>
    </font>
    <font>
      <sz val="10"/>
      <color theme="1"/>
      <name val="Trebuchet MS"/>
      <family val="2"/>
    </font>
    <font>
      <sz val="10"/>
      <name val="Trebuchet MS"/>
      <family val="2"/>
    </font>
    <font>
      <b/>
      <sz val="12"/>
      <color theme="1"/>
      <name val="Calibri"/>
      <scheme val="minor"/>
    </font>
    <font>
      <sz val="12"/>
      <color theme="1"/>
      <name val="Calibri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</cellStyleXfs>
  <cellXfs count="41">
    <xf numFmtId="0" fontId="0" fillId="0" borderId="0" xfId="0"/>
    <xf numFmtId="166" fontId="6" fillId="0" borderId="5" xfId="0" applyNumberFormat="1" applyFont="1" applyBorder="1" applyAlignment="1">
      <alignment horizontal="center" vertical="center"/>
    </xf>
    <xf numFmtId="164" fontId="7" fillId="0" borderId="5" xfId="1" applyNumberFormat="1" applyFont="1" applyFill="1" applyBorder="1" applyAlignment="1">
      <alignment horizontal="center" vertical="center"/>
    </xf>
    <xf numFmtId="164" fontId="8" fillId="0" borderId="5" xfId="1" applyNumberFormat="1" applyFont="1" applyFill="1" applyBorder="1" applyAlignment="1">
      <alignment horizontal="center" vertical="center"/>
    </xf>
    <xf numFmtId="164" fontId="8" fillId="0" borderId="5" xfId="1" applyNumberFormat="1" applyFont="1" applyFill="1" applyBorder="1" applyAlignment="1">
      <alignment horizontal="center"/>
    </xf>
    <xf numFmtId="165" fontId="5" fillId="0" borderId="5" xfId="2" applyNumberFormat="1" applyFont="1" applyBorder="1" applyAlignment="1">
      <alignment horizontal="center" vertical="center"/>
    </xf>
    <xf numFmtId="164" fontId="0" fillId="0" borderId="5" xfId="1" applyNumberFormat="1" applyFont="1" applyBorder="1" applyAlignment="1"/>
    <xf numFmtId="16" fontId="3" fillId="0" borderId="5" xfId="0" applyNumberFormat="1" applyFont="1" applyBorder="1" applyAlignment="1">
      <alignment horizontal="left"/>
    </xf>
    <xf numFmtId="0" fontId="0" fillId="0" borderId="5" xfId="0" applyBorder="1"/>
    <xf numFmtId="0" fontId="0" fillId="0" borderId="5" xfId="0" applyBorder="1" applyAlignment="1">
      <alignment vertical="center"/>
    </xf>
    <xf numFmtId="165" fontId="5" fillId="2" borderId="5" xfId="4" applyNumberFormat="1" applyFont="1" applyFill="1" applyBorder="1" applyAlignment="1">
      <alignment horizontal="center" vertical="center"/>
    </xf>
    <xf numFmtId="164" fontId="2" fillId="0" borderId="5" xfId="1" applyNumberFormat="1" applyFont="1" applyFill="1" applyBorder="1" applyAlignment="1">
      <alignment vertical="center"/>
    </xf>
    <xf numFmtId="16" fontId="0" fillId="0" borderId="5" xfId="1" applyNumberFormat="1" applyFont="1" applyBorder="1" applyAlignment="1">
      <alignment horizontal="center" vertical="center"/>
    </xf>
    <xf numFmtId="0" fontId="2" fillId="0" borderId="0" xfId="0" applyFont="1"/>
    <xf numFmtId="0" fontId="11" fillId="0" borderId="5" xfId="0" applyFont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top" wrapText="1"/>
    </xf>
    <xf numFmtId="0" fontId="0" fillId="0" borderId="5" xfId="0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5" fillId="2" borderId="5" xfId="3" applyFont="1" applyFill="1" applyBorder="1" applyAlignment="1">
      <alignment horizontal="center" vertical="center"/>
    </xf>
    <xf numFmtId="165" fontId="5" fillId="2" borderId="5" xfId="2" applyNumberFormat="1" applyFont="1" applyFill="1" applyBorder="1" applyAlignment="1">
      <alignment horizontal="center" vertical="center"/>
    </xf>
    <xf numFmtId="165" fontId="5" fillId="2" borderId="1" xfId="2" applyNumberFormat="1" applyFont="1" applyFill="1" applyBorder="1" applyAlignment="1">
      <alignment horizontal="center" vertical="center"/>
    </xf>
    <xf numFmtId="165" fontId="5" fillId="2" borderId="6" xfId="2" applyNumberFormat="1" applyFont="1" applyFill="1" applyBorder="1" applyAlignment="1">
      <alignment horizontal="center" vertical="center"/>
    </xf>
    <xf numFmtId="165" fontId="5" fillId="2" borderId="7" xfId="2" applyNumberFormat="1" applyFont="1" applyFill="1" applyBorder="1" applyAlignment="1">
      <alignment horizontal="center" vertical="center"/>
    </xf>
    <xf numFmtId="165" fontId="5" fillId="2" borderId="5" xfId="4" applyNumberFormat="1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16" fontId="2" fillId="0" borderId="2" xfId="1" applyNumberFormat="1" applyFont="1" applyBorder="1" applyAlignment="1">
      <alignment horizontal="center" vertical="center"/>
    </xf>
    <xf numFmtId="16" fontId="2" fillId="0" borderId="3" xfId="1" applyNumberFormat="1" applyFont="1" applyBorder="1" applyAlignment="1">
      <alignment horizontal="center" vertical="center"/>
    </xf>
    <xf numFmtId="16" fontId="2" fillId="0" borderId="4" xfId="1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</cellXfs>
  <cellStyles count="5">
    <cellStyle name="Comma" xfId="1" builtinId="3"/>
    <cellStyle name="Normal" xfId="0" builtinId="0"/>
    <cellStyle name="Normal 4" xfId="4" xr:uid="{479C2F81-FF4C-4F5C-A296-C935971F183A}"/>
    <cellStyle name="Normal_Rekap FV 2015" xfId="2" xr:uid="{2D69227E-2A13-414E-96ED-BC8039C710EF}"/>
    <cellStyle name="Normal_Transfer Tenant  Prambanan Kencana" xfId="3" xr:uid="{D52F18F9-27B2-4F49-A29D-B0F56D43590E}"/>
  </cellStyles>
  <dxfs count="3"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</xdr:row>
          <xdr:rowOff>0</xdr:rowOff>
        </xdr:from>
        <xdr:to>
          <xdr:col>7</xdr:col>
          <xdr:colOff>1912620</xdr:colOff>
          <xdr:row>45</xdr:row>
          <xdr:rowOff>53340</xdr:rowOff>
        </xdr:to>
        <xdr:sp macro="" textlink="">
          <xdr:nvSpPr>
            <xdr:cNvPr id="2051" name="Object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</xdr:row>
          <xdr:rowOff>0</xdr:rowOff>
        </xdr:from>
        <xdr:to>
          <xdr:col>8</xdr:col>
          <xdr:colOff>792480</xdr:colOff>
          <xdr:row>45</xdr:row>
          <xdr:rowOff>53340</xdr:rowOff>
        </xdr:to>
        <xdr:sp macro="" textlink="">
          <xdr:nvSpPr>
            <xdr:cNvPr id="3074" name="Object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</xdr:row>
          <xdr:rowOff>0</xdr:rowOff>
        </xdr:from>
        <xdr:to>
          <xdr:col>8</xdr:col>
          <xdr:colOff>685800</xdr:colOff>
          <xdr:row>45</xdr:row>
          <xdr:rowOff>53340</xdr:rowOff>
        </xdr:to>
        <xdr:sp macro="" textlink="">
          <xdr:nvSpPr>
            <xdr:cNvPr id="4099" name="Object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Visio_Drawing.vsdx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2.emf"/><Relationship Id="rId4" Type="http://schemas.openxmlformats.org/officeDocument/2006/relationships/package" Target="../embeddings/Microsoft_Visio_Drawing1.vsdx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3.emf"/><Relationship Id="rId4" Type="http://schemas.openxmlformats.org/officeDocument/2006/relationships/package" Target="../embeddings/Microsoft_Visio_Drawing2.vsdx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4CCB4-159D-4527-BAB5-BAE69FDC03CD}">
  <dimension ref="A1:G33"/>
  <sheetViews>
    <sheetView workbookViewId="0">
      <selection activeCell="D7" sqref="D7"/>
    </sheetView>
  </sheetViews>
  <sheetFormatPr defaultRowHeight="14.4" x14ac:dyDescent="0.3"/>
  <cols>
    <col min="1" max="1" width="3.6640625" bestFit="1" customWidth="1"/>
    <col min="2" max="2" width="24.77734375" customWidth="1"/>
    <col min="3" max="3" width="16.6640625" customWidth="1"/>
  </cols>
  <sheetData>
    <row r="1" spans="1:7" x14ac:dyDescent="0.3">
      <c r="A1" s="25" t="s">
        <v>29</v>
      </c>
      <c r="B1" s="25" t="s">
        <v>30</v>
      </c>
      <c r="C1" s="25" t="s">
        <v>61</v>
      </c>
    </row>
    <row r="2" spans="1:7" x14ac:dyDescent="0.3">
      <c r="A2" s="25"/>
      <c r="B2" s="25"/>
      <c r="C2" s="25"/>
    </row>
    <row r="3" spans="1:7" x14ac:dyDescent="0.3">
      <c r="A3" s="9">
        <v>1</v>
      </c>
      <c r="B3" s="23" t="s">
        <v>31</v>
      </c>
      <c r="C3" s="9" t="s">
        <v>62</v>
      </c>
      <c r="G3" t="s">
        <v>62</v>
      </c>
    </row>
    <row r="4" spans="1:7" x14ac:dyDescent="0.3">
      <c r="A4" s="9">
        <v>2</v>
      </c>
      <c r="B4" s="23" t="s">
        <v>32</v>
      </c>
      <c r="C4" s="9" t="s">
        <v>62</v>
      </c>
      <c r="G4" t="s">
        <v>63</v>
      </c>
    </row>
    <row r="5" spans="1:7" x14ac:dyDescent="0.3">
      <c r="A5" s="9">
        <v>3</v>
      </c>
      <c r="B5" s="23" t="s">
        <v>33</v>
      </c>
      <c r="C5" s="9" t="s">
        <v>62</v>
      </c>
      <c r="G5" t="s">
        <v>64</v>
      </c>
    </row>
    <row r="6" spans="1:7" x14ac:dyDescent="0.3">
      <c r="A6" s="9">
        <v>4</v>
      </c>
      <c r="B6" s="23" t="s">
        <v>34</v>
      </c>
      <c r="C6" s="9" t="s">
        <v>62</v>
      </c>
    </row>
    <row r="7" spans="1:7" x14ac:dyDescent="0.3">
      <c r="A7" s="9">
        <v>5</v>
      </c>
      <c r="B7" s="23" t="s">
        <v>65</v>
      </c>
      <c r="C7" s="9" t="s">
        <v>62</v>
      </c>
    </row>
    <row r="8" spans="1:7" x14ac:dyDescent="0.3">
      <c r="A8" s="9">
        <v>6</v>
      </c>
      <c r="B8" s="23" t="s">
        <v>35</v>
      </c>
      <c r="C8" s="9" t="s">
        <v>62</v>
      </c>
    </row>
    <row r="9" spans="1:7" x14ac:dyDescent="0.3">
      <c r="A9" s="9">
        <v>7</v>
      </c>
      <c r="B9" s="23" t="s">
        <v>36</v>
      </c>
      <c r="C9" s="9" t="s">
        <v>62</v>
      </c>
    </row>
    <row r="10" spans="1:7" x14ac:dyDescent="0.3">
      <c r="A10" s="9">
        <v>8</v>
      </c>
      <c r="B10" s="23" t="s">
        <v>37</v>
      </c>
      <c r="C10" s="9" t="s">
        <v>62</v>
      </c>
    </row>
    <row r="11" spans="1:7" x14ac:dyDescent="0.3">
      <c r="A11" s="9">
        <v>9</v>
      </c>
      <c r="B11" s="23" t="s">
        <v>38</v>
      </c>
      <c r="C11" s="9" t="s">
        <v>62</v>
      </c>
    </row>
    <row r="12" spans="1:7" x14ac:dyDescent="0.3">
      <c r="A12" s="9">
        <v>10</v>
      </c>
      <c r="B12" s="23" t="s">
        <v>39</v>
      </c>
      <c r="C12" s="9" t="s">
        <v>62</v>
      </c>
    </row>
    <row r="13" spans="1:7" x14ac:dyDescent="0.3">
      <c r="A13" s="9">
        <v>11</v>
      </c>
      <c r="B13" s="23" t="s">
        <v>40</v>
      </c>
      <c r="C13" s="9" t="s">
        <v>64</v>
      </c>
    </row>
    <row r="14" spans="1:7" x14ac:dyDescent="0.3">
      <c r="A14" s="9">
        <v>12</v>
      </c>
      <c r="B14" s="23" t="s">
        <v>41</v>
      </c>
      <c r="C14" s="9" t="s">
        <v>62</v>
      </c>
    </row>
    <row r="15" spans="1:7" x14ac:dyDescent="0.3">
      <c r="A15" s="9">
        <v>13</v>
      </c>
      <c r="B15" s="23" t="s">
        <v>42</v>
      </c>
      <c r="C15" s="9" t="s">
        <v>62</v>
      </c>
    </row>
    <row r="16" spans="1:7" x14ac:dyDescent="0.3">
      <c r="A16" s="9">
        <v>14</v>
      </c>
      <c r="B16" s="23" t="s">
        <v>43</v>
      </c>
      <c r="C16" s="9" t="s">
        <v>62</v>
      </c>
    </row>
    <row r="17" spans="1:3" x14ac:dyDescent="0.3">
      <c r="A17" s="9">
        <v>15</v>
      </c>
      <c r="B17" s="23" t="s">
        <v>44</v>
      </c>
      <c r="C17" s="9" t="s">
        <v>62</v>
      </c>
    </row>
    <row r="18" spans="1:3" x14ac:dyDescent="0.3">
      <c r="A18" s="9">
        <v>16</v>
      </c>
      <c r="B18" s="23" t="s">
        <v>45</v>
      </c>
      <c r="C18" s="9" t="s">
        <v>62</v>
      </c>
    </row>
    <row r="19" spans="1:3" x14ac:dyDescent="0.3">
      <c r="A19" s="9">
        <v>17</v>
      </c>
      <c r="B19" s="23" t="s">
        <v>46</v>
      </c>
      <c r="C19" s="9" t="s">
        <v>62</v>
      </c>
    </row>
    <row r="20" spans="1:3" x14ac:dyDescent="0.3">
      <c r="A20" s="9">
        <v>18</v>
      </c>
      <c r="B20" s="23" t="s">
        <v>47</v>
      </c>
      <c r="C20" s="9" t="s">
        <v>62</v>
      </c>
    </row>
    <row r="21" spans="1:3" x14ac:dyDescent="0.3">
      <c r="A21" s="9">
        <v>19</v>
      </c>
      <c r="B21" s="23" t="s">
        <v>48</v>
      </c>
      <c r="C21" s="9" t="s">
        <v>62</v>
      </c>
    </row>
    <row r="22" spans="1:3" x14ac:dyDescent="0.3">
      <c r="A22" s="9">
        <v>20</v>
      </c>
      <c r="B22" s="23" t="s">
        <v>49</v>
      </c>
      <c r="C22" s="9" t="s">
        <v>62</v>
      </c>
    </row>
    <row r="23" spans="1:3" x14ac:dyDescent="0.3">
      <c r="A23" s="9">
        <v>21</v>
      </c>
      <c r="B23" s="23" t="s">
        <v>50</v>
      </c>
      <c r="C23" s="9" t="s">
        <v>62</v>
      </c>
    </row>
    <row r="24" spans="1:3" x14ac:dyDescent="0.3">
      <c r="A24" s="9">
        <v>22</v>
      </c>
      <c r="B24" s="23" t="s">
        <v>51</v>
      </c>
      <c r="C24" s="9" t="s">
        <v>62</v>
      </c>
    </row>
    <row r="25" spans="1:3" x14ac:dyDescent="0.3">
      <c r="A25" s="9">
        <v>23</v>
      </c>
      <c r="B25" s="23" t="s">
        <v>52</v>
      </c>
      <c r="C25" s="9" t="s">
        <v>62</v>
      </c>
    </row>
    <row r="26" spans="1:3" x14ac:dyDescent="0.3">
      <c r="A26" s="9">
        <v>24</v>
      </c>
      <c r="B26" s="23" t="s">
        <v>53</v>
      </c>
      <c r="C26" s="9" t="s">
        <v>62</v>
      </c>
    </row>
    <row r="27" spans="1:3" x14ac:dyDescent="0.3">
      <c r="A27" s="9">
        <v>25</v>
      </c>
      <c r="B27" s="23" t="s">
        <v>54</v>
      </c>
      <c r="C27" s="9" t="s">
        <v>62</v>
      </c>
    </row>
    <row r="28" spans="1:3" x14ac:dyDescent="0.3">
      <c r="A28" s="9">
        <v>26</v>
      </c>
      <c r="B28" s="23" t="s">
        <v>55</v>
      </c>
      <c r="C28" s="9" t="s">
        <v>62</v>
      </c>
    </row>
    <row r="29" spans="1:3" x14ac:dyDescent="0.3">
      <c r="A29" s="9">
        <v>27</v>
      </c>
      <c r="B29" s="23" t="s">
        <v>56</v>
      </c>
      <c r="C29" s="9" t="s">
        <v>62</v>
      </c>
    </row>
    <row r="30" spans="1:3" x14ac:dyDescent="0.3">
      <c r="A30" s="9">
        <v>28</v>
      </c>
      <c r="B30" s="23" t="s">
        <v>57</v>
      </c>
      <c r="C30" s="9" t="s">
        <v>64</v>
      </c>
    </row>
    <row r="31" spans="1:3" ht="15.6" x14ac:dyDescent="0.3">
      <c r="A31" s="9">
        <v>29</v>
      </c>
      <c r="B31" s="24" t="s">
        <v>58</v>
      </c>
      <c r="C31" s="9" t="s">
        <v>64</v>
      </c>
    </row>
    <row r="32" spans="1:3" x14ac:dyDescent="0.3">
      <c r="A32" s="9">
        <v>30</v>
      </c>
      <c r="B32" s="23" t="s">
        <v>59</v>
      </c>
      <c r="C32" s="9" t="s">
        <v>62</v>
      </c>
    </row>
    <row r="33" spans="1:3" x14ac:dyDescent="0.3">
      <c r="A33" s="9">
        <v>31</v>
      </c>
      <c r="B33" s="23" t="s">
        <v>60</v>
      </c>
      <c r="C33" s="9" t="s">
        <v>62</v>
      </c>
    </row>
  </sheetData>
  <mergeCells count="3">
    <mergeCell ref="A1:A2"/>
    <mergeCell ref="B1:B2"/>
    <mergeCell ref="C1:C2"/>
  </mergeCells>
  <conditionalFormatting sqref="C3:C33">
    <cfRule type="cellIs" dxfId="2" priority="1" operator="equal">
      <formula>$G$5</formula>
    </cfRule>
    <cfRule type="cellIs" dxfId="1" priority="2" operator="equal">
      <formula>$G$4</formula>
    </cfRule>
    <cfRule type="cellIs" dxfId="0" priority="3" operator="equal">
      <formula>$G$3</formula>
    </cfRule>
  </conditionalFormatting>
  <dataValidations count="1">
    <dataValidation type="list" allowBlank="1" showInputMessage="1" showErrorMessage="1" sqref="C3:C33" xr:uid="{BA531CDC-8EAF-4BEF-AED3-9542683D974E}">
      <formula1>$G$3:$G$5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A8433-6815-47C2-B24E-1D6E66D5D8F3}">
  <dimension ref="A1:J14"/>
  <sheetViews>
    <sheetView zoomScale="70" zoomScaleNormal="70" workbookViewId="0">
      <selection activeCell="F2" sqref="F2:F5"/>
    </sheetView>
  </sheetViews>
  <sheetFormatPr defaultRowHeight="14.4" x14ac:dyDescent="0.3"/>
  <cols>
    <col min="1" max="1" width="12.33203125" customWidth="1"/>
    <col min="2" max="2" width="20.5546875" customWidth="1"/>
    <col min="3" max="3" width="20.77734375" bestFit="1" customWidth="1"/>
    <col min="4" max="4" width="17.33203125" customWidth="1"/>
    <col min="5" max="5" width="20.77734375" bestFit="1" customWidth="1"/>
    <col min="6" max="6" width="13" bestFit="1" customWidth="1"/>
    <col min="7" max="7" width="34.109375" bestFit="1" customWidth="1"/>
    <col min="8" max="8" width="31" customWidth="1"/>
    <col min="9" max="9" width="19.5546875" customWidth="1"/>
    <col min="10" max="10" width="14.109375" customWidth="1"/>
  </cols>
  <sheetData>
    <row r="1" spans="1:10" ht="28.8" x14ac:dyDescent="0.55000000000000004">
      <c r="A1" s="7" t="s">
        <v>13</v>
      </c>
      <c r="B1" s="8"/>
      <c r="C1" s="8"/>
      <c r="D1" s="8"/>
      <c r="F1" s="14" t="s">
        <v>29</v>
      </c>
      <c r="G1" s="14" t="s">
        <v>66</v>
      </c>
      <c r="H1" s="14" t="s">
        <v>67</v>
      </c>
      <c r="I1" s="14" t="s">
        <v>68</v>
      </c>
    </row>
    <row r="2" spans="1:10" ht="15" customHeight="1" x14ac:dyDescent="0.3">
      <c r="A2" s="27" t="s">
        <v>5</v>
      </c>
      <c r="B2" s="28" t="s">
        <v>0</v>
      </c>
      <c r="C2" s="29" t="s">
        <v>3</v>
      </c>
      <c r="D2" s="29" t="s">
        <v>10</v>
      </c>
      <c r="F2" s="34" t="s">
        <v>79</v>
      </c>
      <c r="G2" s="36" t="s">
        <v>73</v>
      </c>
      <c r="H2" s="35" t="s">
        <v>69</v>
      </c>
      <c r="I2" s="15" t="s">
        <v>70</v>
      </c>
    </row>
    <row r="3" spans="1:10" x14ac:dyDescent="0.3">
      <c r="A3" s="27"/>
      <c r="B3" s="28"/>
      <c r="C3" s="29"/>
      <c r="D3" s="29"/>
      <c r="F3" s="34"/>
      <c r="G3" s="36"/>
      <c r="H3" s="34"/>
      <c r="I3" s="16"/>
    </row>
    <row r="4" spans="1:10" ht="43.2" x14ac:dyDescent="0.3">
      <c r="A4" s="27"/>
      <c r="B4" s="28"/>
      <c r="C4" s="10" t="s">
        <v>7</v>
      </c>
      <c r="D4" s="29"/>
      <c r="F4" s="34"/>
      <c r="G4" s="36"/>
      <c r="H4" s="34"/>
      <c r="I4" s="15" t="s">
        <v>71</v>
      </c>
    </row>
    <row r="5" spans="1:10" x14ac:dyDescent="0.3">
      <c r="A5" s="12" t="s">
        <v>4</v>
      </c>
      <c r="B5" s="6">
        <v>250000</v>
      </c>
      <c r="C5" s="6">
        <f>B5</f>
        <v>250000</v>
      </c>
      <c r="D5" s="11" t="s">
        <v>11</v>
      </c>
      <c r="F5" s="34"/>
      <c r="G5" s="36"/>
      <c r="H5" s="34"/>
      <c r="I5" s="17"/>
    </row>
    <row r="6" spans="1:10" x14ac:dyDescent="0.3">
      <c r="A6" s="12" t="s">
        <v>28</v>
      </c>
      <c r="B6" s="6">
        <v>150000</v>
      </c>
      <c r="C6" s="6">
        <f>B6</f>
        <v>150000</v>
      </c>
      <c r="D6" s="11" t="s">
        <v>12</v>
      </c>
    </row>
    <row r="9" spans="1:10" ht="28.8" x14ac:dyDescent="0.55000000000000004">
      <c r="A9" s="7" t="s">
        <v>14</v>
      </c>
      <c r="B9" s="8"/>
      <c r="C9" s="8"/>
      <c r="D9" s="8"/>
      <c r="E9" s="8"/>
      <c r="F9" s="8"/>
      <c r="G9" s="8"/>
      <c r="H9" s="8"/>
      <c r="I9" s="9"/>
      <c r="J9" s="9"/>
    </row>
    <row r="10" spans="1:10" x14ac:dyDescent="0.3">
      <c r="A10" s="27" t="s">
        <v>2</v>
      </c>
      <c r="B10" s="28" t="s">
        <v>8</v>
      </c>
      <c r="C10" s="30" t="s">
        <v>9</v>
      </c>
      <c r="D10" s="30" t="s">
        <v>0</v>
      </c>
      <c r="E10" s="30" t="s">
        <v>3</v>
      </c>
      <c r="F10" s="29" t="s">
        <v>15</v>
      </c>
      <c r="G10" s="10" t="s">
        <v>17</v>
      </c>
      <c r="H10" s="33" t="s">
        <v>1</v>
      </c>
      <c r="I10" s="26" t="s">
        <v>18</v>
      </c>
      <c r="J10" s="26" t="s">
        <v>19</v>
      </c>
    </row>
    <row r="11" spans="1:10" x14ac:dyDescent="0.3">
      <c r="A11" s="27"/>
      <c r="B11" s="28"/>
      <c r="C11" s="31"/>
      <c r="D11" s="31"/>
      <c r="E11" s="32"/>
      <c r="F11" s="29"/>
      <c r="G11" s="5" t="s">
        <v>7</v>
      </c>
      <c r="H11" s="33"/>
      <c r="I11" s="26"/>
      <c r="J11" s="26"/>
    </row>
    <row r="12" spans="1:10" x14ac:dyDescent="0.3">
      <c r="A12" s="27"/>
      <c r="B12" s="28"/>
      <c r="C12" s="32"/>
      <c r="D12" s="32"/>
      <c r="E12" s="10" t="s">
        <v>7</v>
      </c>
      <c r="F12" s="29"/>
      <c r="G12" s="1" t="s">
        <v>16</v>
      </c>
      <c r="H12" s="33"/>
      <c r="I12" s="26"/>
      <c r="J12" s="26"/>
    </row>
    <row r="13" spans="1:10" ht="15" x14ac:dyDescent="0.35">
      <c r="A13" s="12">
        <v>46113</v>
      </c>
      <c r="B13" s="6">
        <f>B5+B6</f>
        <v>400000</v>
      </c>
      <c r="C13" s="6">
        <v>5000</v>
      </c>
      <c r="D13" s="6">
        <f>B13+C13</f>
        <v>405000</v>
      </c>
      <c r="E13" s="6">
        <f>D13</f>
        <v>405000</v>
      </c>
      <c r="F13" s="11">
        <f>E13-C13</f>
        <v>400000</v>
      </c>
      <c r="G13" s="2">
        <v>2000</v>
      </c>
      <c r="H13" s="4">
        <f>SUM(G13:G13)</f>
        <v>2000</v>
      </c>
      <c r="I13" s="3">
        <f>F13-B6</f>
        <v>250000</v>
      </c>
      <c r="J13" s="3">
        <f>F13-B5</f>
        <v>150000</v>
      </c>
    </row>
    <row r="14" spans="1:10" x14ac:dyDescent="0.3">
      <c r="A14" s="13" t="s">
        <v>26</v>
      </c>
      <c r="B14" s="13"/>
      <c r="C14" s="13"/>
      <c r="D14" s="13"/>
      <c r="E14" s="13"/>
    </row>
  </sheetData>
  <mergeCells count="16">
    <mergeCell ref="J10:J12"/>
    <mergeCell ref="A10:A12"/>
    <mergeCell ref="B10:B12"/>
    <mergeCell ref="F10:F12"/>
    <mergeCell ref="A2:A4"/>
    <mergeCell ref="B2:B4"/>
    <mergeCell ref="C2:C3"/>
    <mergeCell ref="D2:D4"/>
    <mergeCell ref="C10:C12"/>
    <mergeCell ref="D10:D12"/>
    <mergeCell ref="E10:E11"/>
    <mergeCell ref="H10:H12"/>
    <mergeCell ref="I10:I12"/>
    <mergeCell ref="F2:F5"/>
    <mergeCell ref="H2:H5"/>
    <mergeCell ref="G2:G5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Visio.Drawing.15" shapeId="2051" r:id="rId4">
          <objectPr defaultSize="0" r:id="rId5">
            <anchor moveWithCells="1">
              <from>
                <xdr:col>1</xdr:col>
                <xdr:colOff>0</xdr:colOff>
                <xdr:row>17</xdr:row>
                <xdr:rowOff>0</xdr:rowOff>
              </from>
              <to>
                <xdr:col>7</xdr:col>
                <xdr:colOff>1912620</xdr:colOff>
                <xdr:row>45</xdr:row>
                <xdr:rowOff>53340</xdr:rowOff>
              </to>
            </anchor>
          </objectPr>
        </oleObject>
      </mc:Choice>
      <mc:Fallback>
        <oleObject progId="Visio.Drawing.15" shapeId="2051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B1FC7-7E44-4A01-B1B7-481A5B9392EB}">
  <dimension ref="A1:J14"/>
  <sheetViews>
    <sheetView zoomScale="70" zoomScaleNormal="70" workbookViewId="0">
      <selection activeCell="F2" sqref="F2:F5"/>
    </sheetView>
  </sheetViews>
  <sheetFormatPr defaultRowHeight="14.4" x14ac:dyDescent="0.3"/>
  <cols>
    <col min="1" max="1" width="12.33203125" customWidth="1"/>
    <col min="2" max="2" width="20.5546875" customWidth="1"/>
    <col min="3" max="3" width="20.77734375" bestFit="1" customWidth="1"/>
    <col min="4" max="4" width="17.33203125" customWidth="1"/>
    <col min="5" max="5" width="20.77734375" bestFit="1" customWidth="1"/>
    <col min="6" max="6" width="14.21875" bestFit="1" customWidth="1"/>
    <col min="7" max="7" width="25.109375" customWidth="1"/>
    <col min="8" max="8" width="24.109375" customWidth="1"/>
    <col min="9" max="9" width="32.109375" customWidth="1"/>
    <col min="10" max="10" width="14.109375" customWidth="1"/>
  </cols>
  <sheetData>
    <row r="1" spans="1:10" ht="28.8" x14ac:dyDescent="0.55000000000000004">
      <c r="A1" s="7" t="s">
        <v>24</v>
      </c>
      <c r="B1" s="8"/>
      <c r="C1" s="8"/>
      <c r="D1" s="8"/>
      <c r="F1" s="14" t="s">
        <v>29</v>
      </c>
      <c r="G1" s="14" t="s">
        <v>66</v>
      </c>
      <c r="H1" s="14" t="s">
        <v>67</v>
      </c>
      <c r="I1" s="18" t="s">
        <v>68</v>
      </c>
    </row>
    <row r="2" spans="1:10" ht="15" customHeight="1" x14ac:dyDescent="0.3">
      <c r="A2" s="27" t="s">
        <v>5</v>
      </c>
      <c r="B2" s="28" t="s">
        <v>0</v>
      </c>
      <c r="C2" s="29" t="s">
        <v>3</v>
      </c>
      <c r="D2" s="29" t="s">
        <v>10</v>
      </c>
      <c r="F2" s="34">
        <v>2</v>
      </c>
      <c r="G2" s="36" t="s">
        <v>74</v>
      </c>
      <c r="H2" s="40" t="s">
        <v>72</v>
      </c>
      <c r="I2" s="19" t="s">
        <v>70</v>
      </c>
    </row>
    <row r="3" spans="1:10" x14ac:dyDescent="0.3">
      <c r="A3" s="27"/>
      <c r="B3" s="28"/>
      <c r="C3" s="29"/>
      <c r="D3" s="29"/>
      <c r="F3" s="34"/>
      <c r="G3" s="36"/>
      <c r="H3" s="40"/>
      <c r="I3" s="20"/>
    </row>
    <row r="4" spans="1:10" x14ac:dyDescent="0.3">
      <c r="A4" s="27"/>
      <c r="B4" s="28"/>
      <c r="C4" s="10" t="s">
        <v>7</v>
      </c>
      <c r="D4" s="29"/>
      <c r="F4" s="34"/>
      <c r="G4" s="36"/>
      <c r="H4" s="40"/>
      <c r="I4" s="21" t="s">
        <v>75</v>
      </c>
    </row>
    <row r="5" spans="1:10" x14ac:dyDescent="0.3">
      <c r="A5" s="12" t="s">
        <v>4</v>
      </c>
      <c r="B5" s="6">
        <v>250000</v>
      </c>
      <c r="C5" s="6">
        <f>B5</f>
        <v>250000</v>
      </c>
      <c r="D5" s="11" t="s">
        <v>20</v>
      </c>
      <c r="F5" s="34"/>
      <c r="G5" s="36"/>
      <c r="H5" s="40"/>
      <c r="I5" s="22"/>
    </row>
    <row r="6" spans="1:10" x14ac:dyDescent="0.3">
      <c r="A6" s="37" t="s">
        <v>21</v>
      </c>
      <c r="B6" s="38"/>
      <c r="C6" s="38"/>
      <c r="D6" s="39"/>
    </row>
    <row r="9" spans="1:10" ht="28.8" x14ac:dyDescent="0.55000000000000004">
      <c r="A9" s="7" t="s">
        <v>14</v>
      </c>
      <c r="B9" s="8"/>
      <c r="C9" s="8"/>
      <c r="D9" s="8"/>
      <c r="E9" s="8"/>
      <c r="F9" s="8"/>
      <c r="G9" s="8"/>
      <c r="H9" s="8"/>
      <c r="I9" s="9"/>
      <c r="J9" s="9"/>
    </row>
    <row r="10" spans="1:10" x14ac:dyDescent="0.3">
      <c r="A10" s="27" t="s">
        <v>2</v>
      </c>
      <c r="B10" s="28" t="s">
        <v>8</v>
      </c>
      <c r="C10" s="30" t="s">
        <v>9</v>
      </c>
      <c r="D10" s="30" t="s">
        <v>0</v>
      </c>
      <c r="E10" s="30" t="s">
        <v>3</v>
      </c>
      <c r="F10" s="29" t="s">
        <v>15</v>
      </c>
      <c r="G10" s="10" t="s">
        <v>17</v>
      </c>
      <c r="H10" s="33" t="s">
        <v>1</v>
      </c>
      <c r="I10" s="26" t="s">
        <v>18</v>
      </c>
      <c r="J10" s="26" t="s">
        <v>19</v>
      </c>
    </row>
    <row r="11" spans="1:10" x14ac:dyDescent="0.3">
      <c r="A11" s="27"/>
      <c r="B11" s="28"/>
      <c r="C11" s="31"/>
      <c r="D11" s="31"/>
      <c r="E11" s="32"/>
      <c r="F11" s="29"/>
      <c r="G11" s="5" t="s">
        <v>7</v>
      </c>
      <c r="H11" s="33"/>
      <c r="I11" s="26"/>
      <c r="J11" s="26"/>
    </row>
    <row r="12" spans="1:10" x14ac:dyDescent="0.3">
      <c r="A12" s="27"/>
      <c r="B12" s="28"/>
      <c r="C12" s="32"/>
      <c r="D12" s="32"/>
      <c r="E12" s="10" t="s">
        <v>7</v>
      </c>
      <c r="F12" s="29"/>
      <c r="G12" s="1" t="s">
        <v>16</v>
      </c>
      <c r="H12" s="33"/>
      <c r="I12" s="26"/>
      <c r="J12" s="26"/>
    </row>
    <row r="13" spans="1:10" ht="15" x14ac:dyDescent="0.35">
      <c r="A13" s="12">
        <v>46113</v>
      </c>
      <c r="B13" s="6">
        <f>B5+B6</f>
        <v>250000</v>
      </c>
      <c r="C13" s="6">
        <v>5000</v>
      </c>
      <c r="D13" s="6">
        <f>B13+C13</f>
        <v>255000</v>
      </c>
      <c r="E13" s="6">
        <f>D13</f>
        <v>255000</v>
      </c>
      <c r="F13" s="11">
        <f>E13-C13</f>
        <v>250000</v>
      </c>
      <c r="G13" s="2">
        <v>2000</v>
      </c>
      <c r="H13" s="4">
        <f>G13</f>
        <v>2000</v>
      </c>
      <c r="I13" s="3">
        <f>F13*50%</f>
        <v>125000</v>
      </c>
      <c r="J13" s="3">
        <f>F13*50%</f>
        <v>125000</v>
      </c>
    </row>
    <row r="14" spans="1:10" x14ac:dyDescent="0.3">
      <c r="A14" s="13" t="s">
        <v>26</v>
      </c>
    </row>
  </sheetData>
  <mergeCells count="17">
    <mergeCell ref="H2:H5"/>
    <mergeCell ref="F10:F12"/>
    <mergeCell ref="H10:H12"/>
    <mergeCell ref="I10:I12"/>
    <mergeCell ref="J10:J12"/>
    <mergeCell ref="F2:F5"/>
    <mergeCell ref="G2:G5"/>
    <mergeCell ref="A2:A4"/>
    <mergeCell ref="B2:B4"/>
    <mergeCell ref="C2:C3"/>
    <mergeCell ref="D2:D4"/>
    <mergeCell ref="E10:E11"/>
    <mergeCell ref="A10:A12"/>
    <mergeCell ref="B10:B12"/>
    <mergeCell ref="C10:C12"/>
    <mergeCell ref="D10:D12"/>
    <mergeCell ref="A6:D6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Visio.Drawing.15" shapeId="3074" r:id="rId4">
          <objectPr defaultSize="0" r:id="rId5">
            <anchor moveWithCells="1">
              <from>
                <xdr:col>1</xdr:col>
                <xdr:colOff>0</xdr:colOff>
                <xdr:row>17</xdr:row>
                <xdr:rowOff>0</xdr:rowOff>
              </from>
              <to>
                <xdr:col>8</xdr:col>
                <xdr:colOff>792480</xdr:colOff>
                <xdr:row>45</xdr:row>
                <xdr:rowOff>53340</xdr:rowOff>
              </to>
            </anchor>
          </objectPr>
        </oleObject>
      </mc:Choice>
      <mc:Fallback>
        <oleObject progId="Visio.Drawing.15" shapeId="3074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BEA2A-7030-41FC-8A6D-C01F3A8A25EF}">
  <dimension ref="A1:K14"/>
  <sheetViews>
    <sheetView tabSelected="1" topLeftCell="A16" zoomScale="70" zoomScaleNormal="70" workbookViewId="0">
      <selection activeCell="L35" sqref="L35"/>
    </sheetView>
  </sheetViews>
  <sheetFormatPr defaultRowHeight="14.4" x14ac:dyDescent="0.3"/>
  <cols>
    <col min="1" max="1" width="12.33203125" customWidth="1"/>
    <col min="2" max="2" width="20.5546875" customWidth="1"/>
    <col min="3" max="3" width="20.77734375" bestFit="1" customWidth="1"/>
    <col min="4" max="4" width="17.33203125" customWidth="1"/>
    <col min="5" max="5" width="20.77734375" bestFit="1" customWidth="1"/>
    <col min="6" max="6" width="14.21875" bestFit="1" customWidth="1"/>
    <col min="7" max="7" width="19.88671875" customWidth="1"/>
    <col min="8" max="8" width="30.88671875" customWidth="1"/>
    <col min="9" max="9" width="17.33203125" customWidth="1"/>
    <col min="10" max="10" width="14.109375" customWidth="1"/>
    <col min="11" max="11" width="12.33203125" bestFit="1" customWidth="1"/>
  </cols>
  <sheetData>
    <row r="1" spans="1:11" ht="28.8" x14ac:dyDescent="0.55000000000000004">
      <c r="A1" s="7" t="s">
        <v>25</v>
      </c>
      <c r="B1" s="8"/>
      <c r="C1" s="8"/>
      <c r="D1" s="8"/>
      <c r="F1" s="14" t="s">
        <v>29</v>
      </c>
      <c r="G1" s="14" t="s">
        <v>66</v>
      </c>
      <c r="H1" s="14" t="s">
        <v>67</v>
      </c>
      <c r="I1" s="18" t="s">
        <v>68</v>
      </c>
    </row>
    <row r="2" spans="1:11" ht="15" customHeight="1" x14ac:dyDescent="0.3">
      <c r="A2" s="27" t="s">
        <v>5</v>
      </c>
      <c r="B2" s="28" t="s">
        <v>0</v>
      </c>
      <c r="C2" s="29" t="s">
        <v>3</v>
      </c>
      <c r="D2" s="29" t="s">
        <v>10</v>
      </c>
      <c r="F2" s="34">
        <v>3</v>
      </c>
      <c r="G2" s="36" t="s">
        <v>76</v>
      </c>
      <c r="H2" s="40" t="s">
        <v>77</v>
      </c>
      <c r="I2" s="19" t="s">
        <v>70</v>
      </c>
    </row>
    <row r="3" spans="1:11" x14ac:dyDescent="0.3">
      <c r="A3" s="27"/>
      <c r="B3" s="28"/>
      <c r="C3" s="29"/>
      <c r="D3" s="29"/>
      <c r="F3" s="34"/>
      <c r="G3" s="36"/>
      <c r="H3" s="40"/>
      <c r="I3" s="20"/>
    </row>
    <row r="4" spans="1:11" ht="100.8" x14ac:dyDescent="0.3">
      <c r="A4" s="27"/>
      <c r="B4" s="28"/>
      <c r="C4" s="10" t="s">
        <v>7</v>
      </c>
      <c r="D4" s="29"/>
      <c r="F4" s="34"/>
      <c r="G4" s="36"/>
      <c r="H4" s="40"/>
      <c r="I4" s="21" t="s">
        <v>78</v>
      </c>
    </row>
    <row r="5" spans="1:11" x14ac:dyDescent="0.3">
      <c r="A5" s="12" t="s">
        <v>4</v>
      </c>
      <c r="B5" s="6">
        <v>250000</v>
      </c>
      <c r="C5" s="6">
        <f>B5</f>
        <v>250000</v>
      </c>
      <c r="D5" s="11" t="s">
        <v>11</v>
      </c>
      <c r="F5" s="34"/>
      <c r="G5" s="36"/>
      <c r="H5" s="40"/>
      <c r="I5" s="22"/>
    </row>
    <row r="6" spans="1:11" x14ac:dyDescent="0.3">
      <c r="A6" s="12" t="s">
        <v>6</v>
      </c>
      <c r="B6" s="6">
        <v>150000</v>
      </c>
      <c r="C6" s="6">
        <f>B6</f>
        <v>150000</v>
      </c>
      <c r="D6" s="11" t="s">
        <v>22</v>
      </c>
    </row>
    <row r="7" spans="1:11" x14ac:dyDescent="0.3">
      <c r="A7" s="37" t="s">
        <v>27</v>
      </c>
      <c r="B7" s="38"/>
      <c r="C7" s="38"/>
      <c r="D7" s="39"/>
    </row>
    <row r="9" spans="1:11" ht="28.8" x14ac:dyDescent="0.55000000000000004">
      <c r="A9" s="7" t="s">
        <v>14</v>
      </c>
      <c r="B9" s="8"/>
      <c r="C9" s="8"/>
      <c r="D9" s="8"/>
      <c r="E9" s="8"/>
      <c r="F9" s="8"/>
      <c r="G9" s="8"/>
      <c r="H9" s="8"/>
      <c r="I9" s="9"/>
      <c r="J9" s="9"/>
      <c r="K9" s="9"/>
    </row>
    <row r="10" spans="1:11" x14ac:dyDescent="0.3">
      <c r="A10" s="27" t="s">
        <v>2</v>
      </c>
      <c r="B10" s="28" t="s">
        <v>8</v>
      </c>
      <c r="C10" s="30" t="s">
        <v>9</v>
      </c>
      <c r="D10" s="30" t="s">
        <v>0</v>
      </c>
      <c r="E10" s="30" t="s">
        <v>3</v>
      </c>
      <c r="F10" s="29" t="s">
        <v>15</v>
      </c>
      <c r="G10" s="10" t="s">
        <v>17</v>
      </c>
      <c r="H10" s="33" t="s">
        <v>1</v>
      </c>
      <c r="I10" s="26" t="s">
        <v>18</v>
      </c>
      <c r="J10" s="26" t="s">
        <v>19</v>
      </c>
      <c r="K10" s="26" t="s">
        <v>23</v>
      </c>
    </row>
    <row r="11" spans="1:11" x14ac:dyDescent="0.3">
      <c r="A11" s="27"/>
      <c r="B11" s="28"/>
      <c r="C11" s="31"/>
      <c r="D11" s="31"/>
      <c r="E11" s="32"/>
      <c r="F11" s="29"/>
      <c r="G11" s="5" t="s">
        <v>7</v>
      </c>
      <c r="H11" s="33"/>
      <c r="I11" s="26"/>
      <c r="J11" s="26"/>
      <c r="K11" s="26"/>
    </row>
    <row r="12" spans="1:11" x14ac:dyDescent="0.3">
      <c r="A12" s="27"/>
      <c r="B12" s="28"/>
      <c r="C12" s="32"/>
      <c r="D12" s="32"/>
      <c r="E12" s="10" t="s">
        <v>7</v>
      </c>
      <c r="F12" s="29"/>
      <c r="G12" s="1" t="s">
        <v>16</v>
      </c>
      <c r="H12" s="33"/>
      <c r="I12" s="26"/>
      <c r="J12" s="26"/>
      <c r="K12" s="26"/>
    </row>
    <row r="13" spans="1:11" ht="15" x14ac:dyDescent="0.35">
      <c r="A13" s="12">
        <v>46113</v>
      </c>
      <c r="B13" s="6">
        <f>B5+B6</f>
        <v>400000</v>
      </c>
      <c r="C13" s="6">
        <v>5000</v>
      </c>
      <c r="D13" s="6">
        <f>B13+C13</f>
        <v>405000</v>
      </c>
      <c r="E13" s="6">
        <f>D13</f>
        <v>405000</v>
      </c>
      <c r="F13" s="11">
        <f>E13-C13</f>
        <v>400000</v>
      </c>
      <c r="G13" s="2">
        <v>2000</v>
      </c>
      <c r="H13" s="4">
        <f>SUM(G13:G13)</f>
        <v>2000</v>
      </c>
      <c r="I13" s="3">
        <f>F13-B6</f>
        <v>250000</v>
      </c>
      <c r="J13" s="3">
        <f>(F13-B5)*50%</f>
        <v>75000</v>
      </c>
      <c r="K13" s="3">
        <f>(F13-B5)*50%</f>
        <v>75000</v>
      </c>
    </row>
    <row r="14" spans="1:11" x14ac:dyDescent="0.3">
      <c r="A14" s="13" t="s">
        <v>26</v>
      </c>
    </row>
  </sheetData>
  <mergeCells count="18">
    <mergeCell ref="E10:E11"/>
    <mergeCell ref="F10:F12"/>
    <mergeCell ref="H10:H12"/>
    <mergeCell ref="I10:I12"/>
    <mergeCell ref="A2:A4"/>
    <mergeCell ref="B2:B4"/>
    <mergeCell ref="C2:C3"/>
    <mergeCell ref="D2:D4"/>
    <mergeCell ref="A10:A12"/>
    <mergeCell ref="B10:B12"/>
    <mergeCell ref="C10:C12"/>
    <mergeCell ref="D10:D12"/>
    <mergeCell ref="A7:D7"/>
    <mergeCell ref="J10:J12"/>
    <mergeCell ref="F2:F5"/>
    <mergeCell ref="G2:G5"/>
    <mergeCell ref="H2:H5"/>
    <mergeCell ref="K10:K12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Visio.Drawing.15" shapeId="4099" r:id="rId4">
          <objectPr defaultSize="0" r:id="rId5">
            <anchor moveWithCells="1">
              <from>
                <xdr:col>1</xdr:col>
                <xdr:colOff>0</xdr:colOff>
                <xdr:row>17</xdr:row>
                <xdr:rowOff>0</xdr:rowOff>
              </from>
              <to>
                <xdr:col>8</xdr:col>
                <xdr:colOff>685800</xdr:colOff>
                <xdr:row>45</xdr:row>
                <xdr:rowOff>53340</xdr:rowOff>
              </to>
            </anchor>
          </objectPr>
        </oleObject>
      </mc:Choice>
      <mc:Fallback>
        <oleObject progId="Visio.Drawing.15" shapeId="409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Area Project</vt:lpstr>
      <vt:lpstr>Simulasi 1</vt:lpstr>
      <vt:lpstr>Simulasi 2</vt:lpstr>
      <vt:lpstr>Simulasi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Banuafra Wisnu Irdani</dc:creator>
  <cp:lastModifiedBy>Danu</cp:lastModifiedBy>
  <dcterms:created xsi:type="dcterms:W3CDTF">2025-12-08T03:15:28Z</dcterms:created>
  <dcterms:modified xsi:type="dcterms:W3CDTF">2026-04-24T02:24:10Z</dcterms:modified>
</cp:coreProperties>
</file>